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puestos" sheetId="2" state="visible" r:id="rId4"/>
    <sheet name="Task_Map" sheetId="3" state="visible" r:id="rId5"/>
    <sheet name="Opportunities" sheetId="4" state="visible" r:id="rId6"/>
    <sheet name="Dashboard" sheetId="5" state="visible" r:id="rId7"/>
    <sheet name="Sensitivity" sheetId="6" state="visible" r:id="rId8"/>
    <sheet name="Benchmarks" sheetId="7" state="visible" r:id="rId9"/>
    <sheet name="Change_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<sst xmlns="http://schemas.openxmlformats.org/spreadsheetml/2006/main" count="237" uniqueCount="201">
  <si>
    <t xml:space="preserve">ROI Calculator — JM Consulting AI Opportunity Audit</t>
  </si>
  <si>
    <t xml:space="preserve">Versión</t>
  </si>
  <si>
    <t xml:space="preserve">v1.0.0</t>
  </si>
  <si>
    <t xml:space="preserve">Uso</t>
  </si>
  <si>
    <t xml:space="preserve">Este workbook calcula el ROI esperado de cada oportunidad de IA identificada en el audit.</t>
  </si>
  <si>
    <t xml:space="preserve">Convenciones de color</t>
  </si>
  <si>
    <t xml:space="preserve">Azul</t>
  </si>
  <si>
    <t xml:space="preserve">Inputs hardcoded — los que el consultor ajusta por cliente.</t>
  </si>
  <si>
    <t xml:space="preserve">Negro</t>
  </si>
  <si>
    <t xml:space="preserve">Fórmulas y cálculos — no tocar.</t>
  </si>
  <si>
    <t xml:space="preserve">Verde</t>
  </si>
  <si>
    <t xml:space="preserve">Links entre sheets del mismo workbook.</t>
  </si>
  <si>
    <t xml:space="preserve">Amarillo (fondo)</t>
  </si>
  <si>
    <t xml:space="preserve">Asunciones clave que requieren validación con el cliente.</t>
  </si>
  <si>
    <t xml:space="preserve">Orden de uso</t>
  </si>
  <si>
    <t xml:space="preserve">1. Completar Supuestos. 2. Poblar Task_Map con tareas del cliente. 3. Identificar Opportunities y valorar impacto. 4. Revisar Dashboard. 5. Validar Sensitivity.</t>
  </si>
  <si>
    <t xml:space="preserve">Sheets</t>
  </si>
  <si>
    <t xml:space="preserve">1. README</t>
  </si>
  <si>
    <t xml:space="preserve">Este sheet — cómo usar el modelo.</t>
  </si>
  <si>
    <t xml:space="preserve">2. Supuestos</t>
  </si>
  <si>
    <t xml:space="preserve">Inputs base del cliente: volumen, costo hora, horizonte, discount.</t>
  </si>
  <si>
    <t xml:space="preserve">3. Task_Map</t>
  </si>
  <si>
    <t xml:space="preserve">Tareas del cliente con volumen, costo y tiempo actual.</t>
  </si>
  <si>
    <t xml:space="preserve">4. Opportunities</t>
  </si>
  <si>
    <t xml:space="preserve">Oportunidades identificadas con impact/feasibility/velocity/fit.</t>
  </si>
  <si>
    <t xml:space="preserve">5. Dashboard</t>
  </si>
  <si>
    <t xml:space="preserve">Resumen ejecutivo con KPIs principales.</t>
  </si>
  <si>
    <t xml:space="preserve">6. Sensitivity</t>
  </si>
  <si>
    <t xml:space="preserve">Análisis de sensibilidad ante cambios en asunciones clave.</t>
  </si>
  <si>
    <t xml:space="preserve">7. Benchmarks</t>
  </si>
  <si>
    <t xml:space="preserve">Benchmarks por vertical para validar estimaciones.</t>
  </si>
  <si>
    <t xml:space="preserve">8. Change_Log</t>
  </si>
  <si>
    <t xml:space="preserve">Historial de cambios al modelo.</t>
  </si>
  <si>
    <t xml:space="preserve">Contacto</t>
  </si>
  <si>
    <t xml:space="preserve">JM Consulting — javiercm1221.jm@gmail.com</t>
  </si>
  <si>
    <t xml:space="preserve">Supuestos base del cliente</t>
  </si>
  <si>
    <t xml:space="preserve">Concepto</t>
  </si>
  <si>
    <t xml:space="preserve">Valor</t>
  </si>
  <si>
    <t xml:space="preserve">Nota / fuente</t>
  </si>
  <si>
    <t xml:space="preserve">Nombre del cliente</t>
  </si>
  <si>
    <t xml:space="preserve">Acme Property Mgmt</t>
  </si>
  <si>
    <t xml:space="preserve">Completar</t>
  </si>
  <si>
    <t xml:space="preserve">Vertical</t>
  </si>
  <si>
    <t xml:space="preserve">Property Management</t>
  </si>
  <si>
    <t xml:space="preserve">Geografía principal</t>
  </si>
  <si>
    <t xml:space="preserve">USA</t>
  </si>
  <si>
    <t xml:space="preserve">USA / LATAM</t>
  </si>
  <si>
    <t xml:space="preserve">Tamaño de empleados</t>
  </si>
  <si>
    <t xml:space="preserve">Horizonte de análisis (meses)</t>
  </si>
  <si>
    <t xml:space="preserve">Default 12</t>
  </si>
  <si>
    <t xml:space="preserve">Tasa de descuento anual</t>
  </si>
  <si>
    <t xml:space="preserve">Default 10%</t>
  </si>
  <si>
    <t xml:space="preserve">Costo hora promedio USD (ops team)</t>
  </si>
  <si>
    <t xml:space="preserve">USA: 30-50; LATAM: 8-15</t>
  </si>
  <si>
    <t xml:space="preserve">Costo hora senior USD</t>
  </si>
  <si>
    <t xml:space="preserve">USA: 60-120; LATAM: 20-40</t>
  </si>
  <si>
    <t xml:space="preserve">Factor de carga (benefits etc)</t>
  </si>
  <si>
    <t xml:space="preserve">Default 1.30</t>
  </si>
  <si>
    <t xml:space="preserve">Moneda de reporte</t>
  </si>
  <si>
    <t xml:space="preserve">USD</t>
  </si>
  <si>
    <t xml:space="preserve">Fecha del audit</t>
  </si>
  <si>
    <t xml:space="preserve">Analista JM</t>
  </si>
  <si>
    <t xml:space="preserve">Javier / CTO agent</t>
  </si>
  <si>
    <t xml:space="preserve">Referencias rápidas (black — calculated)</t>
  </si>
  <si>
    <t xml:space="preserve">Costo hora efectivo (con carga)</t>
  </si>
  <si>
    <t xml:space="preserve">Task Map — tareas del cliente con volumen, tiempo y costo actual</t>
  </si>
  <si>
    <t xml:space="preserve">#</t>
  </si>
  <si>
    <t xml:space="preserve">Tarea</t>
  </si>
  <si>
    <t xml:space="preserve">Zona</t>
  </si>
  <si>
    <t xml:space="preserve">Frecuencia</t>
  </si>
  <si>
    <t xml:space="preserve">Volumen mensual</t>
  </si>
  <si>
    <t xml:space="preserve">Minutos/ocurrencia</t>
  </si>
  <si>
    <t xml:space="preserve">Horas/mes</t>
  </si>
  <si>
    <t xml:space="preserve">Ejecutor (role)</t>
  </si>
  <si>
    <t xml:space="preserve">Costo hora USD</t>
  </si>
  <si>
    <t xml:space="preserve">Costo mensual USD</t>
  </si>
  <si>
    <t xml:space="preserve">Costo anual USD</t>
  </si>
  <si>
    <t xml:space="preserve">Nota</t>
  </si>
  <si>
    <t xml:space="preserve">Clasificación de leads entrantes</t>
  </si>
  <si>
    <t xml:space="preserve">Adquisición</t>
  </si>
  <si>
    <t xml:space="preserve">Diaria</t>
  </si>
  <si>
    <t xml:space="preserve">Respuesta inicial a inquilino</t>
  </si>
  <si>
    <t xml:space="preserve">Ingreso de solicitud de mantenimiento</t>
  </si>
  <si>
    <t xml:space="preserve">Retención</t>
  </si>
  <si>
    <t xml:space="preserve">Reconciliación de pagos mensuales</t>
  </si>
  <si>
    <t xml:space="preserve">Back-office</t>
  </si>
  <si>
    <t xml:space="preserve">Semanal</t>
  </si>
  <si>
    <t xml:space="preserve">Generación de reporte owner</t>
  </si>
  <si>
    <t xml:space="preserve">Mensual</t>
  </si>
  <si>
    <t xml:space="preserve">Screening de tenant (data entry)</t>
  </si>
  <si>
    <t xml:space="preserve">Seguimiento de renovaciones</t>
  </si>
  <si>
    <t xml:space="preserve">Onboarding de nueva propiedad</t>
  </si>
  <si>
    <t xml:space="preserve">Entrega</t>
  </si>
  <si>
    <t xml:space="preserve">Categorización de facturas</t>
  </si>
  <si>
    <t xml:space="preserve">Preparación de eviction notices</t>
  </si>
  <si>
    <t xml:space="preserve">TOTAL</t>
  </si>
  <si>
    <t xml:space="preserve">Opportunity Matrix — oportunidades priorizadas</t>
  </si>
  <si>
    <t xml:space="preserve">Oportunidad</t>
  </si>
  <si>
    <t xml:space="preserve">Task_Map ref</t>
  </si>
  <si>
    <t xml:space="preserve">Impact (1-5)</t>
  </si>
  <si>
    <t xml:space="preserve">Feasibility (1-5)</t>
  </si>
  <si>
    <t xml:space="preserve">Velocity (1-5)</t>
  </si>
  <si>
    <t xml:space="preserve">Strategic fit (1-5)</t>
  </si>
  <si>
    <t xml:space="preserve">Score (ponderado)</t>
  </si>
  <si>
    <t xml:space="preserve">Ahorro anual USD</t>
  </si>
  <si>
    <t xml:space="preserve">Revenue anual USD</t>
  </si>
  <si>
    <t xml:space="preserve">Implementación USD</t>
  </si>
  <si>
    <t xml:space="preserve">Retainer anual USD</t>
  </si>
  <si>
    <t xml:space="preserve">Payback meses</t>
  </si>
  <si>
    <t xml:space="preserve">ROI año 1</t>
  </si>
  <si>
    <t xml:space="preserve">Categoría</t>
  </si>
  <si>
    <t xml:space="preserve">Lead classifier + auto-response</t>
  </si>
  <si>
    <t xml:space="preserve">1,2,6</t>
  </si>
  <si>
    <t xml:space="preserve">Maintenance request triage</t>
  </si>
  <si>
    <t xml:space="preserve">3</t>
  </si>
  <si>
    <t xml:space="preserve">Payment reconciliation agent</t>
  </si>
  <si>
    <t xml:space="preserve">4,9</t>
  </si>
  <si>
    <t xml:space="preserve">Owner report generator</t>
  </si>
  <si>
    <t xml:space="preserve">5</t>
  </si>
  <si>
    <t xml:space="preserve">Tenant screening automation</t>
  </si>
  <si>
    <t xml:space="preserve">6</t>
  </si>
  <si>
    <t xml:space="preserve">Renewal nudger</t>
  </si>
  <si>
    <t xml:space="preserve">7</t>
  </si>
  <si>
    <t xml:space="preserve">Onboarding workflow</t>
  </si>
  <si>
    <t xml:space="preserve">8</t>
  </si>
  <si>
    <t xml:space="preserve">Invoice categorizer</t>
  </si>
  <si>
    <t xml:space="preserve">9</t>
  </si>
  <si>
    <t xml:space="preserve">Eviction notice automation</t>
  </si>
  <si>
    <t xml:space="preserve">10</t>
  </si>
  <si>
    <t xml:space="preserve">Dashboard ejecutivo — ROI resumen</t>
  </si>
  <si>
    <t xml:space="preserve">Cliente</t>
  </si>
  <si>
    <t xml:space="preserve">Tareas analizadas</t>
  </si>
  <si>
    <t xml:space="preserve"># de tareas en el Task Map</t>
  </si>
  <si>
    <t xml:space="preserve">Costo actual mensual (mapeado)</t>
  </si>
  <si>
    <t xml:space="preserve">USD/mes</t>
  </si>
  <si>
    <t xml:space="preserve">Costo actual anual (mapeado)</t>
  </si>
  <si>
    <t xml:space="preserve">USD/año</t>
  </si>
  <si>
    <t xml:space="preserve">Oportunidades identificadas</t>
  </si>
  <si>
    <t xml:space="preserve">Ahorro anual estimado</t>
  </si>
  <si>
    <t xml:space="preserve">Suma ahorros año 1</t>
  </si>
  <si>
    <t xml:space="preserve">Revenue adicional estimado</t>
  </si>
  <si>
    <t xml:space="preserve">Suma revenue año 1</t>
  </si>
  <si>
    <t xml:space="preserve">Impacto total anual</t>
  </si>
  <si>
    <t xml:space="preserve">Inversión implementación total</t>
  </si>
  <si>
    <t xml:space="preserve">One-time USD</t>
  </si>
  <si>
    <t xml:space="preserve">Retainer anual total</t>
  </si>
  <si>
    <t xml:space="preserve">Mantenimiento mensual * 12</t>
  </si>
  <si>
    <t xml:space="preserve">Costo total año 1</t>
  </si>
  <si>
    <t xml:space="preserve">Implementación + retainer</t>
  </si>
  <si>
    <t xml:space="preserve">Benefit neto año 1</t>
  </si>
  <si>
    <t xml:space="preserve">Impacto - costo</t>
  </si>
  <si>
    <t xml:space="preserve">Benefit / Costo</t>
  </si>
  <si>
    <t xml:space="preserve">Payback promedio meses</t>
  </si>
  <si>
    <t xml:space="preserve">Benefit acumulado año 2</t>
  </si>
  <si>
    <t xml:space="preserve">Sólo retainer año 2 en adelante</t>
  </si>
  <si>
    <t xml:space="preserve">Benefit acumulado año 3</t>
  </si>
  <si>
    <t xml:space="preserve">Análisis de sensibilidad</t>
  </si>
  <si>
    <t xml:space="preserve">Variación del ROI año 1 ante cambios en asunciones clave</t>
  </si>
  <si>
    <t xml:space="preserve">Adopción efectiva \ Sobrecosto implementación</t>
  </si>
  <si>
    <t xml:space="preserve">Interpretación:</t>
  </si>
  <si>
    <t xml:space="preserve">Verde: ROI &gt; 100% (resultado sólido)</t>
  </si>
  <si>
    <t xml:space="preserve">Amarillo: ROI 25%-100% (resultado aceptable)</t>
  </si>
  <si>
    <t xml:space="preserve">Rojo: ROI &lt; 25% (revisar scope, pricing o timing)</t>
  </si>
  <si>
    <t xml:space="preserve">Benchmarks por vertical (data propia + mercado)</t>
  </si>
  <si>
    <t xml:space="preserve">Caso típico</t>
  </si>
  <si>
    <t xml:space="preserve">Notas</t>
  </si>
  <si>
    <t xml:space="preserve">Lead response accelerator</t>
  </si>
  <si>
    <t xml:space="preserve">Cliente 300-500 unidades</t>
  </si>
  <si>
    <t xml:space="preserve">Maintenance triage</t>
  </si>
  <si>
    <t xml:space="preserve">Owner report generation</t>
  </si>
  <si>
    <t xml:space="preserve">Accounting Firm (mid)</t>
  </si>
  <si>
    <t xml:space="preserve">Document extraction</t>
  </si>
  <si>
    <t xml:space="preserve">Firma 10-30 contadores</t>
  </si>
  <si>
    <t xml:space="preserve">Reconciliation agent</t>
  </si>
  <si>
    <t xml:space="preserve">Client reporting agent</t>
  </si>
  <si>
    <t xml:space="preserve">Legal Boutique</t>
  </si>
  <si>
    <t xml:space="preserve">Document review</t>
  </si>
  <si>
    <t xml:space="preserve">Firma 5-20 abogados</t>
  </si>
  <si>
    <t xml:space="preserve">Contract analysis</t>
  </si>
  <si>
    <t xml:space="preserve">Logistics</t>
  </si>
  <si>
    <t xml:space="preserve">Dispatch optimization</t>
  </si>
  <si>
    <t xml:space="preserve">Flota 50+ vehículos</t>
  </si>
  <si>
    <t xml:space="preserve">Document automation</t>
  </si>
  <si>
    <t xml:space="preserve">Healthcare</t>
  </si>
  <si>
    <t xml:space="preserve">Intake automation</t>
  </si>
  <si>
    <t xml:space="preserve">Clínica 10+ staff</t>
  </si>
  <si>
    <t xml:space="preserve">Prior auth assistant</t>
  </si>
  <si>
    <t xml:space="preserve">Manufacturing</t>
  </si>
  <si>
    <t xml:space="preserve">Quality inspection</t>
  </si>
  <si>
    <t xml:space="preserve">Planta mid-size</t>
  </si>
  <si>
    <t xml:space="preserve">B2B SaaS</t>
  </si>
  <si>
    <t xml:space="preserve">Support auto-resolve</t>
  </si>
  <si>
    <t xml:space="preserve">500+ tickets/mes</t>
  </si>
  <si>
    <t xml:space="preserve">Lead qualification</t>
  </si>
  <si>
    <t xml:space="preserve">Change log</t>
  </si>
  <si>
    <t xml:space="preserve">Fecha</t>
  </si>
  <si>
    <t xml:space="preserve">Autor</t>
  </si>
  <si>
    <t xml:space="preserve">Descripción del cambio</t>
  </si>
  <si>
    <t xml:space="preserve">2026-04-18</t>
  </si>
  <si>
    <t xml:space="preserve">Javier CM</t>
  </si>
  <si>
    <t xml:space="preserve">Versión inicial del modelo maestro con 8 sheets y estructura completa.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</si>
</sst>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\$#,##0;&quot;($&quot;#,##0\);\-"/>
    <numFmt numFmtId="167" formatCode="0.0"/>
    <numFmt numFmtId="168" formatCode="0.0%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FFCC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6.85" hidden="false" customHeight="false" outlineLevel="0" collapsed="false">
      <c r="A5" s="2" t="s">
        <v>5</v>
      </c>
      <c r="B5" s="3"/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/>
      <c r="B10" s="3"/>
    </row>
    <row r="11" customFormat="false" ht="26.8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2" t="s">
        <v>16</v>
      </c>
      <c r="B13" s="3"/>
    </row>
    <row r="14" customFormat="false" ht="15" hidden="false" customHeight="false" outlineLevel="0" collapsed="false">
      <c r="A14" s="2" t="s">
        <v>17</v>
      </c>
      <c r="B14" s="3" t="s">
        <v>18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  <row r="20" customFormat="false" ht="1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15" hidden="false" customHeight="false" outlineLevel="0" collapsed="false">
      <c r="A22" s="2"/>
      <c r="B22" s="3"/>
    </row>
    <row r="23" customFormat="false" ht="15" hidden="false" customHeight="false" outlineLevel="0" collapsed="false">
      <c r="A23" s="2" t="s">
        <v>33</v>
      </c>
      <c r="B23" s="3" t="s">
        <v>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4" t="s">
        <v>35</v>
      </c>
      <c r="B1" s="4"/>
      <c r="C1" s="4"/>
    </row>
    <row r="2" customFormat="false" ht="15" hidden="false" customHeight="false" outlineLevel="0" collapsed="false">
      <c r="A2" s="5" t="s">
        <v>36</v>
      </c>
      <c r="B2" s="5" t="s">
        <v>37</v>
      </c>
      <c r="C2" s="5" t="s">
        <v>38</v>
      </c>
    </row>
    <row r="3" customFormat="false" ht="26.85" hidden="false" customHeight="false" outlineLevel="0" collapsed="false">
      <c r="A3" s="6" t="s">
        <v>39</v>
      </c>
      <c r="B3" s="7" t="s">
        <v>40</v>
      </c>
      <c r="C3" s="8" t="s">
        <v>41</v>
      </c>
    </row>
    <row r="4" customFormat="false" ht="26.85" hidden="false" customHeight="false" outlineLevel="0" collapsed="false">
      <c r="A4" s="6" t="s">
        <v>42</v>
      </c>
      <c r="B4" s="7" t="s">
        <v>43</v>
      </c>
      <c r="C4" s="8" t="s">
        <v>41</v>
      </c>
    </row>
    <row r="5" customFormat="false" ht="15" hidden="false" customHeight="false" outlineLevel="0" collapsed="false">
      <c r="A5" s="6" t="s">
        <v>44</v>
      </c>
      <c r="B5" s="7" t="s">
        <v>45</v>
      </c>
      <c r="C5" s="8" t="s">
        <v>46</v>
      </c>
    </row>
    <row r="6" customFormat="false" ht="15" hidden="false" customHeight="false" outlineLevel="0" collapsed="false">
      <c r="A6" s="6" t="s">
        <v>47</v>
      </c>
      <c r="B6" s="7" t="n">
        <v>50</v>
      </c>
      <c r="C6" s="8" t="s">
        <v>41</v>
      </c>
    </row>
    <row r="7" customFormat="false" ht="15" hidden="false" customHeight="false" outlineLevel="0" collapsed="false">
      <c r="A7" s="6" t="s">
        <v>48</v>
      </c>
      <c r="B7" s="7" t="n">
        <v>12</v>
      </c>
      <c r="C7" s="8" t="s">
        <v>49</v>
      </c>
    </row>
    <row r="8" customFormat="false" ht="15" hidden="false" customHeight="false" outlineLevel="0" collapsed="false">
      <c r="A8" s="6" t="s">
        <v>50</v>
      </c>
      <c r="B8" s="7" t="n">
        <v>0.1</v>
      </c>
      <c r="C8" s="8" t="s">
        <v>51</v>
      </c>
    </row>
    <row r="9" customFormat="false" ht="15" hidden="false" customHeight="false" outlineLevel="0" collapsed="false">
      <c r="A9" s="6" t="s">
        <v>52</v>
      </c>
      <c r="B9" s="7" t="n">
        <v>35</v>
      </c>
      <c r="C9" s="8" t="s">
        <v>53</v>
      </c>
    </row>
    <row r="10" customFormat="false" ht="15" hidden="false" customHeight="false" outlineLevel="0" collapsed="false">
      <c r="A10" s="6" t="s">
        <v>54</v>
      </c>
      <c r="B10" s="7" t="n">
        <v>75</v>
      </c>
      <c r="C10" s="8" t="s">
        <v>55</v>
      </c>
    </row>
    <row r="11" customFormat="false" ht="15" hidden="false" customHeight="false" outlineLevel="0" collapsed="false">
      <c r="A11" s="6" t="s">
        <v>56</v>
      </c>
      <c r="B11" s="7" t="n">
        <v>1.3</v>
      </c>
      <c r="C11" s="8" t="s">
        <v>57</v>
      </c>
    </row>
    <row r="12" customFormat="false" ht="15" hidden="false" customHeight="false" outlineLevel="0" collapsed="false">
      <c r="A12" s="6" t="s">
        <v>58</v>
      </c>
      <c r="B12" s="7" t="s">
        <v>59</v>
      </c>
      <c r="C12" s="8"/>
    </row>
    <row r="13" customFormat="false" ht="15" hidden="false" customHeight="false" outlineLevel="0" collapsed="false">
      <c r="A13" s="6" t="s">
        <v>60</v>
      </c>
      <c r="B13" s="9" t="n">
        <f aca="true">TODAY()</f>
        <v>46130</v>
      </c>
      <c r="C13" s="8"/>
    </row>
    <row r="14" customFormat="false" ht="15" hidden="false" customHeight="false" outlineLevel="0" collapsed="false">
      <c r="A14" s="6" t="s">
        <v>61</v>
      </c>
      <c r="B14" s="7" t="s">
        <v>62</v>
      </c>
      <c r="C14" s="8"/>
    </row>
    <row r="16" customFormat="false" ht="15" hidden="false" customHeight="false" outlineLevel="0" collapsed="false">
      <c r="A16" s="6" t="s">
        <v>63</v>
      </c>
    </row>
    <row r="17" customFormat="false" ht="15" hidden="false" customHeight="false" outlineLevel="0" collapsed="false">
      <c r="A17" s="10" t="s">
        <v>64</v>
      </c>
      <c r="B17" s="11" t="n">
        <f aca="false">B9*B11</f>
        <v>45.5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4" t="s">
        <v>65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26.85" hidden="false" customHeight="false" outlineLevel="0" collapsed="false">
      <c r="A2" s="5" t="s">
        <v>66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  <c r="G2" s="5" t="s">
        <v>72</v>
      </c>
      <c r="H2" s="5" t="s">
        <v>73</v>
      </c>
      <c r="I2" s="5" t="s">
        <v>74</v>
      </c>
      <c r="J2" s="5" t="s">
        <v>75</v>
      </c>
      <c r="K2" s="5" t="s">
        <v>76</v>
      </c>
      <c r="L2" s="5" t="s">
        <v>77</v>
      </c>
    </row>
    <row r="3" customFormat="false" ht="26.85" hidden="false" customHeight="false" outlineLevel="0" collapsed="false">
      <c r="A3" s="12" t="n">
        <v>1</v>
      </c>
      <c r="B3" s="13" t="s">
        <v>78</v>
      </c>
      <c r="C3" s="12" t="s">
        <v>79</v>
      </c>
      <c r="D3" s="12" t="s">
        <v>80</v>
      </c>
      <c r="E3" s="14" t="n">
        <v>800</v>
      </c>
      <c r="F3" s="14" t="n">
        <v>4</v>
      </c>
      <c r="G3" s="15" t="n">
        <f aca="false">E3*F3/60</f>
        <v>53.3333333333333</v>
      </c>
      <c r="H3" s="12" t="n">
        <v>28</v>
      </c>
      <c r="J3" s="15" t="n">
        <f aca="false">G3*I3</f>
        <v>0</v>
      </c>
      <c r="K3" s="15" t="n">
        <f aca="false">J3*12</f>
        <v>0</v>
      </c>
    </row>
    <row r="4" customFormat="false" ht="15" hidden="false" customHeight="false" outlineLevel="0" collapsed="false">
      <c r="A4" s="12" t="n">
        <v>2</v>
      </c>
      <c r="B4" s="13" t="s">
        <v>81</v>
      </c>
      <c r="C4" s="12" t="s">
        <v>79</v>
      </c>
      <c r="D4" s="12" t="s">
        <v>80</v>
      </c>
      <c r="E4" s="14" t="n">
        <v>1200</v>
      </c>
      <c r="F4" s="14" t="n">
        <v>5</v>
      </c>
      <c r="G4" s="15" t="n">
        <f aca="false">E4*F4/60</f>
        <v>100</v>
      </c>
      <c r="H4" s="12" t="n">
        <v>28</v>
      </c>
      <c r="J4" s="15" t="n">
        <f aca="false">G4*I4</f>
        <v>0</v>
      </c>
      <c r="K4" s="15" t="n">
        <f aca="false">J4*12</f>
        <v>0</v>
      </c>
    </row>
    <row r="5" customFormat="false" ht="26.85" hidden="false" customHeight="false" outlineLevel="0" collapsed="false">
      <c r="A5" s="12" t="n">
        <v>3</v>
      </c>
      <c r="B5" s="13" t="s">
        <v>82</v>
      </c>
      <c r="C5" s="12" t="s">
        <v>83</v>
      </c>
      <c r="D5" s="12" t="s">
        <v>80</v>
      </c>
      <c r="E5" s="14" t="n">
        <v>300</v>
      </c>
      <c r="F5" s="14" t="n">
        <v>6</v>
      </c>
      <c r="G5" s="15" t="n">
        <f aca="false">E5*F5/60</f>
        <v>30</v>
      </c>
      <c r="H5" s="12" t="n">
        <v>22</v>
      </c>
      <c r="J5" s="15" t="n">
        <f aca="false">G5*I5</f>
        <v>0</v>
      </c>
      <c r="K5" s="15" t="n">
        <f aca="false">J5*12</f>
        <v>0</v>
      </c>
    </row>
    <row r="6" customFormat="false" ht="26.85" hidden="false" customHeight="false" outlineLevel="0" collapsed="false">
      <c r="A6" s="12" t="n">
        <v>4</v>
      </c>
      <c r="B6" s="13" t="s">
        <v>84</v>
      </c>
      <c r="C6" s="12" t="s">
        <v>85</v>
      </c>
      <c r="D6" s="12" t="s">
        <v>86</v>
      </c>
      <c r="E6" s="14" t="n">
        <v>120</v>
      </c>
      <c r="F6" s="14" t="n">
        <v>45</v>
      </c>
      <c r="G6" s="15" t="n">
        <f aca="false">E6*F6/60</f>
        <v>90</v>
      </c>
      <c r="H6" s="12" t="n">
        <v>32</v>
      </c>
      <c r="J6" s="15" t="n">
        <f aca="false">G6*I6</f>
        <v>0</v>
      </c>
      <c r="K6" s="15" t="n">
        <f aca="false">J6*12</f>
        <v>0</v>
      </c>
    </row>
    <row r="7" customFormat="false" ht="15" hidden="false" customHeight="false" outlineLevel="0" collapsed="false">
      <c r="A7" s="12" t="n">
        <v>5</v>
      </c>
      <c r="B7" s="13" t="s">
        <v>87</v>
      </c>
      <c r="C7" s="12" t="s">
        <v>85</v>
      </c>
      <c r="D7" s="12" t="s">
        <v>88</v>
      </c>
      <c r="E7" s="14" t="n">
        <v>60</v>
      </c>
      <c r="F7" s="14" t="n">
        <v>30</v>
      </c>
      <c r="G7" s="15" t="n">
        <f aca="false">E7*F7/60</f>
        <v>30</v>
      </c>
      <c r="H7" s="12" t="n">
        <v>32</v>
      </c>
      <c r="J7" s="15" t="n">
        <f aca="false">G7*I7</f>
        <v>0</v>
      </c>
      <c r="K7" s="15" t="n">
        <f aca="false">J7*12</f>
        <v>0</v>
      </c>
    </row>
    <row r="8" customFormat="false" ht="26.85" hidden="false" customHeight="false" outlineLevel="0" collapsed="false">
      <c r="A8" s="12" t="n">
        <v>6</v>
      </c>
      <c r="B8" s="13" t="s">
        <v>89</v>
      </c>
      <c r="C8" s="12" t="s">
        <v>79</v>
      </c>
      <c r="D8" s="12" t="s">
        <v>80</v>
      </c>
      <c r="E8" s="14" t="n">
        <v>200</v>
      </c>
      <c r="F8" s="14" t="n">
        <v>12</v>
      </c>
      <c r="G8" s="15" t="n">
        <f aca="false">E8*F8/60</f>
        <v>40</v>
      </c>
      <c r="H8" s="12" t="n">
        <v>28</v>
      </c>
      <c r="J8" s="15" t="n">
        <f aca="false">G8*I8</f>
        <v>0</v>
      </c>
      <c r="K8" s="15" t="n">
        <f aca="false">J8*12</f>
        <v>0</v>
      </c>
    </row>
    <row r="9" customFormat="false" ht="15" hidden="false" customHeight="false" outlineLevel="0" collapsed="false">
      <c r="A9" s="12" t="n">
        <v>7</v>
      </c>
      <c r="B9" s="13" t="s">
        <v>90</v>
      </c>
      <c r="C9" s="12" t="s">
        <v>83</v>
      </c>
      <c r="D9" s="12" t="s">
        <v>88</v>
      </c>
      <c r="E9" s="14" t="n">
        <v>50</v>
      </c>
      <c r="F9" s="14" t="n">
        <v>25</v>
      </c>
      <c r="G9" s="15" t="n">
        <f aca="false">E9*F9/60</f>
        <v>20.8333333333333</v>
      </c>
      <c r="H9" s="12" t="n">
        <v>40</v>
      </c>
      <c r="J9" s="15" t="n">
        <f aca="false">G9*I9</f>
        <v>0</v>
      </c>
      <c r="K9" s="15" t="n">
        <f aca="false">J9*12</f>
        <v>0</v>
      </c>
    </row>
    <row r="10" customFormat="false" ht="26.85" hidden="false" customHeight="false" outlineLevel="0" collapsed="false">
      <c r="A10" s="12" t="n">
        <v>8</v>
      </c>
      <c r="B10" s="13" t="s">
        <v>91</v>
      </c>
      <c r="C10" s="12" t="s">
        <v>92</v>
      </c>
      <c r="D10" s="12" t="s">
        <v>86</v>
      </c>
      <c r="E10" s="14" t="n">
        <v>10</v>
      </c>
      <c r="F10" s="14" t="n">
        <v>180</v>
      </c>
      <c r="G10" s="15" t="n">
        <f aca="false">E10*F10/60</f>
        <v>30</v>
      </c>
      <c r="H10" s="12" t="n">
        <v>40</v>
      </c>
      <c r="J10" s="15" t="n">
        <f aca="false">G10*I10</f>
        <v>0</v>
      </c>
      <c r="K10" s="15" t="n">
        <f aca="false">J10*12</f>
        <v>0</v>
      </c>
    </row>
    <row r="11" customFormat="false" ht="15" hidden="false" customHeight="false" outlineLevel="0" collapsed="false">
      <c r="A11" s="12" t="n">
        <v>9</v>
      </c>
      <c r="B11" s="13" t="s">
        <v>93</v>
      </c>
      <c r="C11" s="12" t="s">
        <v>85</v>
      </c>
      <c r="D11" s="12" t="s">
        <v>86</v>
      </c>
      <c r="E11" s="14" t="n">
        <v>400</v>
      </c>
      <c r="F11" s="14" t="n">
        <v>3</v>
      </c>
      <c r="G11" s="15" t="n">
        <f aca="false">E11*F11/60</f>
        <v>20</v>
      </c>
      <c r="H11" s="12" t="n">
        <v>32</v>
      </c>
      <c r="J11" s="15" t="n">
        <f aca="false">G11*I11</f>
        <v>0</v>
      </c>
      <c r="K11" s="15" t="n">
        <f aca="false">J11*12</f>
        <v>0</v>
      </c>
    </row>
    <row r="12" customFormat="false" ht="26.85" hidden="false" customHeight="false" outlineLevel="0" collapsed="false">
      <c r="A12" s="12" t="n">
        <v>10</v>
      </c>
      <c r="B12" s="13" t="s">
        <v>94</v>
      </c>
      <c r="C12" s="12" t="s">
        <v>83</v>
      </c>
      <c r="D12" s="12" t="s">
        <v>88</v>
      </c>
      <c r="E12" s="14" t="n">
        <v>20</v>
      </c>
      <c r="F12" s="14" t="n">
        <v>45</v>
      </c>
      <c r="G12" s="15" t="n">
        <f aca="false">E12*F12/60</f>
        <v>15</v>
      </c>
      <c r="H12" s="12" t="n">
        <v>40</v>
      </c>
      <c r="J12" s="15" t="n">
        <f aca="false">G12*I12</f>
        <v>0</v>
      </c>
      <c r="K12" s="15" t="n">
        <f aca="false">J12*12</f>
        <v>0</v>
      </c>
    </row>
    <row r="13" customFormat="false" ht="15" hidden="false" customHeight="false" outlineLevel="0" collapsed="false">
      <c r="B13" s="16" t="s">
        <v>95</v>
      </c>
      <c r="G13" s="17" t="n">
        <f aca="false">SUM(G3:G12)</f>
        <v>429.166666666667</v>
      </c>
      <c r="J13" s="17" t="n">
        <f aca="false">SUM(J3:J12)</f>
        <v>0</v>
      </c>
      <c r="K13" s="17" t="n">
        <f aca="false">SUM(K3:K12)</f>
        <v>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9" min="4" style="0" width="14"/>
    <col collapsed="false" customWidth="true" hidden="false" outlineLevel="0" max="12" min="10" style="0" width="16"/>
    <col collapsed="false" customWidth="true" hidden="false" outlineLevel="0" max="15" min="13" style="0" width="18"/>
    <col collapsed="false" customWidth="true" hidden="false" outlineLevel="0" max="16" min="16" style="0" width="20"/>
  </cols>
  <sheetData>
    <row r="1" customFormat="false" ht="27.75" hidden="false" customHeight="true" outlineLevel="0" collapsed="false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26.85" hidden="false" customHeight="false" outlineLevel="0" collapsed="false">
      <c r="A2" s="5" t="s">
        <v>66</v>
      </c>
      <c r="B2" s="5" t="s">
        <v>97</v>
      </c>
      <c r="C2" s="5" t="s">
        <v>98</v>
      </c>
      <c r="D2" s="5" t="s">
        <v>72</v>
      </c>
      <c r="E2" s="5" t="s">
        <v>99</v>
      </c>
      <c r="F2" s="5" t="s">
        <v>100</v>
      </c>
      <c r="G2" s="5" t="s">
        <v>101</v>
      </c>
      <c r="H2" s="5" t="s">
        <v>102</v>
      </c>
      <c r="I2" s="5" t="s">
        <v>103</v>
      </c>
      <c r="J2" s="5" t="s">
        <v>104</v>
      </c>
      <c r="K2" s="5" t="s">
        <v>105</v>
      </c>
      <c r="L2" s="5" t="s">
        <v>106</v>
      </c>
      <c r="M2" s="5" t="s">
        <v>107</v>
      </c>
      <c r="N2" s="5" t="s">
        <v>108</v>
      </c>
      <c r="O2" s="5" t="s">
        <v>109</v>
      </c>
      <c r="P2" s="5" t="s">
        <v>110</v>
      </c>
    </row>
    <row r="3" customFormat="false" ht="15" hidden="false" customHeight="false" outlineLevel="0" collapsed="false">
      <c r="A3" s="14" t="n">
        <v>1</v>
      </c>
      <c r="B3" s="18" t="s">
        <v>111</v>
      </c>
      <c r="C3" s="14" t="s">
        <v>112</v>
      </c>
      <c r="D3" s="12" t="n">
        <v>80</v>
      </c>
      <c r="E3" s="7" t="n">
        <v>5</v>
      </c>
      <c r="F3" s="7" t="n">
        <v>4</v>
      </c>
      <c r="G3" s="7" t="n">
        <v>5</v>
      </c>
      <c r="H3" s="7" t="n">
        <v>5</v>
      </c>
      <c r="I3" s="19" t="n">
        <f aca="false">E3*0.5+F3*0.2+G3*0.2+H3*0.1</f>
        <v>4.8</v>
      </c>
      <c r="J3" s="20" t="n">
        <v>60000</v>
      </c>
      <c r="K3" s="20" t="n">
        <v>18000</v>
      </c>
      <c r="L3" s="20" t="n">
        <v>6000</v>
      </c>
      <c r="M3" s="21"/>
      <c r="N3" s="19" t="n">
        <f aca="false">IFERROR(L3/(((J3+K3)-M3)/12),0)</f>
        <v>0.923076923076923</v>
      </c>
      <c r="O3" s="22" t="n">
        <f aca="false">IFERROR(((J3+K3)-M3-L3)/L3,0)</f>
        <v>12</v>
      </c>
      <c r="P3" s="12" t="str">
        <f aca="false">IF(AND(E3&gt;=4,F3&gt;=4),"Quick Win",IF(AND(E3&gt;=4,F3&lt;=2),"Big Swing",IF(AND(E3&lt;=2,F3&gt;=4),"Nice-to-have","Deprioritize")))</f>
        <v>Quick Win</v>
      </c>
    </row>
    <row r="4" customFormat="false" ht="15" hidden="false" customHeight="false" outlineLevel="0" collapsed="false">
      <c r="A4" s="14" t="n">
        <v>2</v>
      </c>
      <c r="B4" s="18" t="s">
        <v>113</v>
      </c>
      <c r="C4" s="14" t="s">
        <v>114</v>
      </c>
      <c r="D4" s="12" t="n">
        <v>30</v>
      </c>
      <c r="E4" s="7" t="n">
        <v>4</v>
      </c>
      <c r="F4" s="7" t="n">
        <v>4</v>
      </c>
      <c r="G4" s="7" t="n">
        <v>4</v>
      </c>
      <c r="H4" s="7" t="n">
        <v>4</v>
      </c>
      <c r="I4" s="19" t="n">
        <f aca="false">E4*0.5+F4*0.2+G4*0.2+H4*0.1</f>
        <v>4</v>
      </c>
      <c r="J4" s="20" t="n">
        <v>0</v>
      </c>
      <c r="K4" s="20" t="n">
        <v>12000</v>
      </c>
      <c r="L4" s="20" t="n">
        <v>3000</v>
      </c>
      <c r="M4" s="21"/>
      <c r="N4" s="19" t="n">
        <f aca="false">IFERROR(L4/(((J4+K4)-M4)/12),0)</f>
        <v>3</v>
      </c>
      <c r="O4" s="22" t="n">
        <f aca="false">IFERROR(((J4+K4)-M4-L4)/L4,0)</f>
        <v>3</v>
      </c>
      <c r="P4" s="12" t="str">
        <f aca="false">IF(AND(E4&gt;=4,F4&gt;=4),"Quick Win",IF(AND(E4&gt;=4,F4&lt;=2),"Big Swing",IF(AND(E4&lt;=2,F4&gt;=4),"Nice-to-have","Deprioritize")))</f>
        <v>Quick Win</v>
      </c>
    </row>
    <row r="5" customFormat="false" ht="15" hidden="false" customHeight="false" outlineLevel="0" collapsed="false">
      <c r="A5" s="14" t="n">
        <v>3</v>
      </c>
      <c r="B5" s="18" t="s">
        <v>115</v>
      </c>
      <c r="C5" s="14" t="s">
        <v>116</v>
      </c>
      <c r="D5" s="12" t="n">
        <v>35</v>
      </c>
      <c r="E5" s="7" t="n">
        <v>5</v>
      </c>
      <c r="F5" s="7" t="n">
        <v>3</v>
      </c>
      <c r="G5" s="7" t="n">
        <v>3</v>
      </c>
      <c r="H5" s="7" t="n">
        <v>4</v>
      </c>
      <c r="I5" s="19" t="n">
        <f aca="false">E5*0.5+F5*0.2+G5*0.2+H5*0.1</f>
        <v>4.1</v>
      </c>
      <c r="J5" s="20" t="n">
        <v>0</v>
      </c>
      <c r="K5" s="20" t="n">
        <v>25000</v>
      </c>
      <c r="L5" s="20" t="n">
        <v>6000</v>
      </c>
      <c r="M5" s="21"/>
      <c r="N5" s="19" t="n">
        <f aca="false">IFERROR(L5/(((J5+K5)-M5)/12),0)</f>
        <v>2.88</v>
      </c>
      <c r="O5" s="22" t="n">
        <f aca="false">IFERROR(((J5+K5)-M5-L5)/L5,0)</f>
        <v>3.16666666666667</v>
      </c>
      <c r="P5" s="12" t="str">
        <f aca="false">IF(AND(E5&gt;=4,F5&gt;=4),"Quick Win",IF(AND(E5&gt;=4,F5&lt;=2),"Big Swing",IF(AND(E5&lt;=2,F5&gt;=4),"Nice-to-have","Deprioritize")))</f>
        <v>Deprioritize</v>
      </c>
    </row>
    <row r="6" customFormat="false" ht="15" hidden="false" customHeight="false" outlineLevel="0" collapsed="false">
      <c r="A6" s="14" t="n">
        <v>4</v>
      </c>
      <c r="B6" s="18" t="s">
        <v>117</v>
      </c>
      <c r="C6" s="14" t="s">
        <v>118</v>
      </c>
      <c r="D6" s="12" t="n">
        <v>30</v>
      </c>
      <c r="E6" s="7" t="n">
        <v>4</v>
      </c>
      <c r="F6" s="7" t="n">
        <v>4</v>
      </c>
      <c r="G6" s="7" t="n">
        <v>4</v>
      </c>
      <c r="H6" s="7" t="n">
        <v>3</v>
      </c>
      <c r="I6" s="19" t="n">
        <f aca="false">E6*0.5+F6*0.2+G6*0.2+H6*0.1</f>
        <v>3.9</v>
      </c>
      <c r="J6" s="20" t="n">
        <v>0</v>
      </c>
      <c r="K6" s="20" t="n">
        <v>12000</v>
      </c>
      <c r="L6" s="20" t="n">
        <v>3000</v>
      </c>
      <c r="M6" s="21"/>
      <c r="N6" s="19" t="n">
        <f aca="false">IFERROR(L6/(((J6+K6)-M6)/12),0)</f>
        <v>3</v>
      </c>
      <c r="O6" s="22" t="n">
        <f aca="false">IFERROR(((J6+K6)-M6-L6)/L6,0)</f>
        <v>3</v>
      </c>
      <c r="P6" s="12" t="str">
        <f aca="false">IF(AND(E6&gt;=4,F6&gt;=4),"Quick Win",IF(AND(E6&gt;=4,F6&lt;=2),"Big Swing",IF(AND(E6&lt;=2,F6&gt;=4),"Nice-to-have","Deprioritize")))</f>
        <v>Quick Win</v>
      </c>
    </row>
    <row r="7" customFormat="false" ht="15" hidden="false" customHeight="false" outlineLevel="0" collapsed="false">
      <c r="A7" s="14" t="n">
        <v>5</v>
      </c>
      <c r="B7" s="18" t="s">
        <v>119</v>
      </c>
      <c r="C7" s="14" t="s">
        <v>120</v>
      </c>
      <c r="D7" s="12" t="n">
        <v>40</v>
      </c>
      <c r="E7" s="7" t="n">
        <v>4</v>
      </c>
      <c r="F7" s="7" t="n">
        <v>3</v>
      </c>
      <c r="G7" s="7" t="n">
        <v>3</v>
      </c>
      <c r="H7" s="7" t="n">
        <v>3</v>
      </c>
      <c r="I7" s="19" t="n">
        <f aca="false">E7*0.5+F7*0.2+G7*0.2+H7*0.1</f>
        <v>3.5</v>
      </c>
      <c r="J7" s="20" t="n">
        <v>0</v>
      </c>
      <c r="K7" s="20" t="n">
        <v>20000</v>
      </c>
      <c r="L7" s="20" t="n">
        <v>4500</v>
      </c>
      <c r="M7" s="21"/>
      <c r="N7" s="19" t="n">
        <f aca="false">IFERROR(L7/(((J7+K7)-M7)/12),0)</f>
        <v>2.7</v>
      </c>
      <c r="O7" s="22" t="n">
        <f aca="false">IFERROR(((J7+K7)-M7-L7)/L7,0)</f>
        <v>3.44444444444444</v>
      </c>
      <c r="P7" s="12" t="str">
        <f aca="false">IF(AND(E7&gt;=4,F7&gt;=4),"Quick Win",IF(AND(E7&gt;=4,F7&lt;=2),"Big Swing",IF(AND(E7&lt;=2,F7&gt;=4),"Nice-to-have","Deprioritize")))</f>
        <v>Deprioritize</v>
      </c>
    </row>
    <row r="8" customFormat="false" ht="15" hidden="false" customHeight="false" outlineLevel="0" collapsed="false">
      <c r="A8" s="14" t="n">
        <v>6</v>
      </c>
      <c r="B8" s="18" t="s">
        <v>121</v>
      </c>
      <c r="C8" s="14" t="s">
        <v>122</v>
      </c>
      <c r="D8" s="12" t="n">
        <v>20</v>
      </c>
      <c r="E8" s="7" t="n">
        <v>3</v>
      </c>
      <c r="F8" s="7" t="n">
        <v>5</v>
      </c>
      <c r="G8" s="7" t="n">
        <v>5</v>
      </c>
      <c r="H8" s="7" t="n">
        <v>3</v>
      </c>
      <c r="I8" s="19" t="n">
        <f aca="false">E8*0.5+F8*0.2+G8*0.2+H8*0.1</f>
        <v>3.8</v>
      </c>
      <c r="J8" s="20" t="n">
        <v>30000</v>
      </c>
      <c r="K8" s="20" t="n">
        <v>8000</v>
      </c>
      <c r="L8" s="20" t="n">
        <v>2500</v>
      </c>
      <c r="M8" s="21"/>
      <c r="N8" s="19" t="n">
        <f aca="false">IFERROR(L8/(((J8+K8)-M8)/12),0)</f>
        <v>0.789473684210526</v>
      </c>
      <c r="O8" s="22" t="n">
        <f aca="false">IFERROR(((J8+K8)-M8-L8)/L8,0)</f>
        <v>14.2</v>
      </c>
      <c r="P8" s="12" t="str">
        <f aca="false">IF(AND(E8&gt;=4,F8&gt;=4),"Quick Win",IF(AND(E8&gt;=4,F8&lt;=2),"Big Swing",IF(AND(E8&lt;=2,F8&gt;=4),"Nice-to-have","Deprioritize")))</f>
        <v>Deprioritize</v>
      </c>
    </row>
    <row r="9" customFormat="false" ht="15" hidden="false" customHeight="false" outlineLevel="0" collapsed="false">
      <c r="A9" s="14" t="n">
        <v>7</v>
      </c>
      <c r="B9" s="18" t="s">
        <v>123</v>
      </c>
      <c r="C9" s="14" t="s">
        <v>124</v>
      </c>
      <c r="D9" s="12" t="n">
        <v>30</v>
      </c>
      <c r="E9" s="7" t="n">
        <v>3</v>
      </c>
      <c r="F9" s="7" t="n">
        <v>3</v>
      </c>
      <c r="G9" s="7" t="n">
        <v>3</v>
      </c>
      <c r="H9" s="7" t="n">
        <v>3</v>
      </c>
      <c r="I9" s="19" t="n">
        <f aca="false">E9*0.5+F9*0.2+G9*0.2+H9*0.1</f>
        <v>3</v>
      </c>
      <c r="J9" s="20" t="n">
        <v>10000</v>
      </c>
      <c r="K9" s="20" t="n">
        <v>15000</v>
      </c>
      <c r="L9" s="20" t="n">
        <v>2500</v>
      </c>
      <c r="M9" s="21"/>
      <c r="N9" s="19" t="n">
        <f aca="false">IFERROR(L9/(((J9+K9)-M9)/12),0)</f>
        <v>1.2</v>
      </c>
      <c r="O9" s="22" t="n">
        <f aca="false">IFERROR(((J9+K9)-M9-L9)/L9,0)</f>
        <v>9</v>
      </c>
      <c r="P9" s="12" t="str">
        <f aca="false">IF(AND(E9&gt;=4,F9&gt;=4),"Quick Win",IF(AND(E9&gt;=4,F9&lt;=2),"Big Swing",IF(AND(E9&lt;=2,F9&gt;=4),"Nice-to-have","Deprioritize")))</f>
        <v>Deprioritize</v>
      </c>
    </row>
    <row r="10" customFormat="false" ht="15" hidden="false" customHeight="false" outlineLevel="0" collapsed="false">
      <c r="A10" s="14" t="n">
        <v>8</v>
      </c>
      <c r="B10" s="18" t="s">
        <v>125</v>
      </c>
      <c r="C10" s="14" t="s">
        <v>126</v>
      </c>
      <c r="D10" s="12" t="n">
        <v>20</v>
      </c>
      <c r="E10" s="7" t="n">
        <v>3</v>
      </c>
      <c r="F10" s="7" t="n">
        <v>5</v>
      </c>
      <c r="G10" s="7" t="n">
        <v>5</v>
      </c>
      <c r="H10" s="7" t="n">
        <v>3</v>
      </c>
      <c r="I10" s="19" t="n">
        <f aca="false">E10*0.5+F10*0.2+G10*0.2+H10*0.1</f>
        <v>3.8</v>
      </c>
      <c r="J10" s="20" t="n">
        <v>0</v>
      </c>
      <c r="K10" s="20" t="n">
        <v>8000</v>
      </c>
      <c r="L10" s="20" t="n">
        <v>2000</v>
      </c>
      <c r="M10" s="21"/>
      <c r="N10" s="19" t="n">
        <f aca="false">IFERROR(L10/(((J10+K10)-M10)/12),0)</f>
        <v>3</v>
      </c>
      <c r="O10" s="22" t="n">
        <f aca="false">IFERROR(((J10+K10)-M10-L10)/L10,0)</f>
        <v>3</v>
      </c>
      <c r="P10" s="12" t="str">
        <f aca="false">IF(AND(E10&gt;=4,F10&gt;=4),"Quick Win",IF(AND(E10&gt;=4,F10&lt;=2),"Big Swing",IF(AND(E10&lt;=2,F10&gt;=4),"Nice-to-have","Deprioritize")))</f>
        <v>Deprioritize</v>
      </c>
    </row>
    <row r="11" customFormat="false" ht="15" hidden="false" customHeight="false" outlineLevel="0" collapsed="false">
      <c r="A11" s="14" t="n">
        <v>9</v>
      </c>
      <c r="B11" s="18" t="s">
        <v>127</v>
      </c>
      <c r="C11" s="14" t="s">
        <v>128</v>
      </c>
      <c r="D11" s="12" t="n">
        <v>15</v>
      </c>
      <c r="E11" s="7" t="n">
        <v>3</v>
      </c>
      <c r="F11" s="7" t="n">
        <v>4</v>
      </c>
      <c r="G11" s="7" t="n">
        <v>4</v>
      </c>
      <c r="H11" s="7" t="n">
        <v>3</v>
      </c>
      <c r="I11" s="19" t="n">
        <f aca="false">E11*0.5+F11*0.2+G11*0.2+H11*0.1</f>
        <v>3.4</v>
      </c>
      <c r="J11" s="20" t="n">
        <v>0</v>
      </c>
      <c r="K11" s="20" t="n">
        <v>10000</v>
      </c>
      <c r="L11" s="20" t="n">
        <v>2000</v>
      </c>
      <c r="M11" s="21"/>
      <c r="N11" s="19" t="n">
        <f aca="false">IFERROR(L11/(((J11+K11)-M11)/12),0)</f>
        <v>2.4</v>
      </c>
      <c r="O11" s="22" t="n">
        <f aca="false">IFERROR(((J11+K11)-M11-L11)/L11,0)</f>
        <v>4</v>
      </c>
      <c r="P11" s="12" t="str">
        <f aca="false">IF(AND(E11&gt;=4,F11&gt;=4),"Quick Win",IF(AND(E11&gt;=4,F11&lt;=2),"Big Swing",IF(AND(E11&lt;=2,F11&gt;=4),"Nice-to-have","Deprioritize")))</f>
        <v>Deprioritize</v>
      </c>
    </row>
    <row r="12" customFormat="false" ht="15" hidden="false" customHeight="false" outlineLevel="0" collapsed="false">
      <c r="B12" s="16" t="s">
        <v>95</v>
      </c>
      <c r="J12" s="17" t="n">
        <f aca="false">SUM(J3:J11)</f>
        <v>100000</v>
      </c>
      <c r="K12" s="17" t="n">
        <f aca="false">SUM(K3:K11)</f>
        <v>128000</v>
      </c>
      <c r="L12" s="17" t="n">
        <f aca="false">SUM(L3:L11)</f>
        <v>31500</v>
      </c>
      <c r="M12" s="17" t="n">
        <f aca="false">SUM(M3:M11)</f>
        <v>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35"/>
  </cols>
  <sheetData>
    <row r="1" customFormat="false" ht="27.75" hidden="false" customHeight="true" outlineLevel="0" collapsed="false">
      <c r="A1" s="4" t="s">
        <v>129</v>
      </c>
      <c r="B1" s="4"/>
      <c r="C1" s="4"/>
    </row>
    <row r="3" customFormat="false" ht="15" hidden="false" customHeight="false" outlineLevel="0" collapsed="false">
      <c r="A3" s="6" t="s">
        <v>130</v>
      </c>
      <c r="B3" s="23" t="str">
        <f aca="false">Supuestos!B3</f>
        <v>Acme Property Mgmt</v>
      </c>
      <c r="C3" s="8"/>
    </row>
    <row r="4" customFormat="false" ht="15" hidden="false" customHeight="false" outlineLevel="0" collapsed="false">
      <c r="A4" s="6" t="s">
        <v>42</v>
      </c>
      <c r="B4" s="23" t="str">
        <f aca="false">Supuestos!B4</f>
        <v>Property Management</v>
      </c>
      <c r="C4" s="8"/>
    </row>
    <row r="5" customFormat="false" ht="15" hidden="false" customHeight="false" outlineLevel="0" collapsed="false">
      <c r="A5" s="6" t="s">
        <v>60</v>
      </c>
      <c r="B5" s="24" t="n">
        <f aca="false">Supuestos!B13</f>
        <v>46130</v>
      </c>
      <c r="C5" s="8"/>
    </row>
    <row r="6" customFormat="false" ht="15" hidden="false" customHeight="false" outlineLevel="0" collapsed="false">
      <c r="A6" s="6"/>
      <c r="B6" s="25"/>
      <c r="C6" s="8"/>
    </row>
    <row r="7" customFormat="false" ht="15" hidden="false" customHeight="false" outlineLevel="0" collapsed="false">
      <c r="A7" s="6" t="s">
        <v>131</v>
      </c>
      <c r="B7" s="23" t="n">
        <f aca="false">COUNTA(Task_Map!B3:B12)</f>
        <v>10</v>
      </c>
      <c r="C7" s="8" t="s">
        <v>132</v>
      </c>
    </row>
    <row r="8" customFormat="false" ht="15" hidden="false" customHeight="false" outlineLevel="0" collapsed="false">
      <c r="A8" s="6" t="s">
        <v>133</v>
      </c>
      <c r="B8" s="26" t="n">
        <f aca="false">Task_Map!J13</f>
        <v>0</v>
      </c>
      <c r="C8" s="8" t="s">
        <v>134</v>
      </c>
    </row>
    <row r="9" customFormat="false" ht="15" hidden="false" customHeight="false" outlineLevel="0" collapsed="false">
      <c r="A9" s="6" t="s">
        <v>135</v>
      </c>
      <c r="B9" s="26" t="n">
        <f aca="false">Task_Map!K13</f>
        <v>0</v>
      </c>
      <c r="C9" s="8" t="s">
        <v>136</v>
      </c>
    </row>
    <row r="10" customFormat="false" ht="15" hidden="false" customHeight="false" outlineLevel="0" collapsed="false">
      <c r="A10" s="6"/>
      <c r="B10" s="25"/>
      <c r="C10" s="8"/>
    </row>
    <row r="11" customFormat="false" ht="15" hidden="false" customHeight="false" outlineLevel="0" collapsed="false">
      <c r="A11" s="6" t="s">
        <v>137</v>
      </c>
      <c r="B11" s="23" t="n">
        <f aca="false">COUNTA(Opportunities!B3:B11)</f>
        <v>9</v>
      </c>
      <c r="C11" s="8"/>
    </row>
    <row r="12" customFormat="false" ht="15" hidden="false" customHeight="false" outlineLevel="0" collapsed="false">
      <c r="A12" s="6" t="s">
        <v>138</v>
      </c>
      <c r="B12" s="26" t="n">
        <f aca="false">Opportunities!J12</f>
        <v>100000</v>
      </c>
      <c r="C12" s="8" t="s">
        <v>139</v>
      </c>
    </row>
    <row r="13" customFormat="false" ht="15" hidden="false" customHeight="false" outlineLevel="0" collapsed="false">
      <c r="A13" s="6" t="s">
        <v>140</v>
      </c>
      <c r="B13" s="26" t="n">
        <f aca="false">Opportunities!K12</f>
        <v>128000</v>
      </c>
      <c r="C13" s="8" t="s">
        <v>141</v>
      </c>
    </row>
    <row r="14" customFormat="false" ht="15" hidden="false" customHeight="false" outlineLevel="0" collapsed="false">
      <c r="A14" s="6" t="s">
        <v>142</v>
      </c>
      <c r="B14" s="26" t="n">
        <f aca="false">Opportunities!J12+Opportunities!K12</f>
        <v>228000</v>
      </c>
      <c r="C14" s="8"/>
    </row>
    <row r="15" customFormat="false" ht="15" hidden="false" customHeight="false" outlineLevel="0" collapsed="false">
      <c r="A15" s="6"/>
      <c r="B15" s="25"/>
      <c r="C15" s="8"/>
    </row>
    <row r="16" customFormat="false" ht="15" hidden="false" customHeight="false" outlineLevel="0" collapsed="false">
      <c r="A16" s="6" t="s">
        <v>143</v>
      </c>
      <c r="B16" s="26" t="n">
        <f aca="false">Opportunities!L12</f>
        <v>31500</v>
      </c>
      <c r="C16" s="8" t="s">
        <v>144</v>
      </c>
    </row>
    <row r="17" customFormat="false" ht="15" hidden="false" customHeight="false" outlineLevel="0" collapsed="false">
      <c r="A17" s="6" t="s">
        <v>145</v>
      </c>
      <c r="B17" s="26" t="n">
        <f aca="false">Opportunities!M12</f>
        <v>0</v>
      </c>
      <c r="C17" s="8" t="s">
        <v>146</v>
      </c>
    </row>
    <row r="18" customFormat="false" ht="15" hidden="false" customHeight="false" outlineLevel="0" collapsed="false">
      <c r="A18" s="6" t="s">
        <v>147</v>
      </c>
      <c r="B18" s="26" t="n">
        <f aca="false">N15+O15</f>
        <v>0</v>
      </c>
      <c r="C18" s="8" t="s">
        <v>148</v>
      </c>
    </row>
    <row r="19" customFormat="false" ht="15" hidden="false" customHeight="false" outlineLevel="0" collapsed="false">
      <c r="A19" s="6"/>
      <c r="B19" s="25"/>
      <c r="C19" s="8"/>
    </row>
    <row r="20" customFormat="false" ht="15" hidden="false" customHeight="false" outlineLevel="0" collapsed="false">
      <c r="A20" s="16" t="s">
        <v>149</v>
      </c>
      <c r="B20" s="27" t="n">
        <f aca="false">M13-P16</f>
        <v>0</v>
      </c>
      <c r="C20" s="8" t="s">
        <v>150</v>
      </c>
    </row>
    <row r="21" customFormat="false" ht="15" hidden="false" customHeight="false" outlineLevel="0" collapsed="false">
      <c r="A21" s="16" t="s">
        <v>109</v>
      </c>
      <c r="B21" s="28" t="n">
        <f aca="false">IFERROR(S18/P16,0)</f>
        <v>0</v>
      </c>
      <c r="C21" s="8" t="s">
        <v>151</v>
      </c>
    </row>
    <row r="22" customFormat="false" ht="15" hidden="false" customHeight="false" outlineLevel="0" collapsed="false">
      <c r="A22" s="6" t="s">
        <v>152</v>
      </c>
      <c r="B22" s="29" t="n">
        <f aca="false">IFERROR(P16/(M13/12),0)</f>
        <v>0</v>
      </c>
      <c r="C22" s="8"/>
    </row>
    <row r="23" customFormat="false" ht="15" hidden="false" customHeight="false" outlineLevel="0" collapsed="false">
      <c r="A23" s="6"/>
      <c r="B23" s="25"/>
      <c r="C23" s="8"/>
    </row>
    <row r="24" customFormat="false" ht="15" hidden="false" customHeight="false" outlineLevel="0" collapsed="false">
      <c r="A24" s="6" t="s">
        <v>153</v>
      </c>
      <c r="B24" s="26" t="n">
        <f aca="false">(M13-O15)</f>
        <v>0</v>
      </c>
      <c r="C24" s="8" t="s">
        <v>154</v>
      </c>
    </row>
    <row r="25" customFormat="false" ht="15" hidden="false" customHeight="false" outlineLevel="0" collapsed="false">
      <c r="A25" s="6" t="s">
        <v>155</v>
      </c>
      <c r="B25" s="26" t="n">
        <f aca="false">(M13-O15)*2+M13-P16</f>
        <v>0</v>
      </c>
      <c r="C25" s="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</cols>
  <sheetData>
    <row r="1" customFormat="false" ht="27.75" hidden="false" customHeight="true" outlineLevel="0" collapsed="false">
      <c r="A1" s="4" t="s">
        <v>156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6" t="s">
        <v>157</v>
      </c>
    </row>
    <row r="5" customFormat="false" ht="15" hidden="false" customHeight="false" outlineLevel="0" collapsed="false">
      <c r="A5" s="30" t="s">
        <v>158</v>
      </c>
      <c r="B5" s="31" t="n">
        <v>-0.2</v>
      </c>
      <c r="C5" s="31" t="n">
        <v>0</v>
      </c>
      <c r="D5" s="31" t="n">
        <v>0.2</v>
      </c>
      <c r="E5" s="31" t="n">
        <v>0.4</v>
      </c>
    </row>
    <row r="6" customFormat="false" ht="15" hidden="false" customHeight="false" outlineLevel="0" collapsed="false">
      <c r="A6" s="32" t="n">
        <v>0.5</v>
      </c>
      <c r="B6" s="22" t="n">
        <f aca="false">IFERROR(((Dashboard!B15*$A6)-Dashboard!B17-Dashboard!B16*(1+-0.2))/(Dashboard!B16*(1+-0.2)),0)</f>
        <v>-1</v>
      </c>
      <c r="C6" s="22" t="n">
        <f aca="false">IFERROR(((Dashboard!B15*$A6)-Dashboard!B17-Dashboard!B16*(1+0))/(Dashboard!B16*(1+0)),0)</f>
        <v>-1</v>
      </c>
      <c r="D6" s="22" t="n">
        <f aca="false">IFERROR(((Dashboard!B15*$A6)-Dashboard!B17-Dashboard!B16*(1+0.2))/(Dashboard!B16*(1+0.2)),0)</f>
        <v>-1</v>
      </c>
      <c r="E6" s="22" t="n">
        <f aca="false">IFERROR(((Dashboard!B15*$A6)-Dashboard!B17-Dashboard!B16*(1+0.4))/(Dashboard!B16*(1+0.4)),0)</f>
        <v>-1</v>
      </c>
    </row>
    <row r="7" customFormat="false" ht="15" hidden="false" customHeight="false" outlineLevel="0" collapsed="false">
      <c r="A7" s="32" t="n">
        <v>0.7</v>
      </c>
      <c r="B7" s="22" t="n">
        <f aca="false">IFERROR(((Dashboard!B15*$A7)-Dashboard!B17-Dashboard!B16*(1+-0.2))/(Dashboard!B16*(1+-0.2)),0)</f>
        <v>-1</v>
      </c>
      <c r="C7" s="22" t="n">
        <f aca="false">IFERROR(((Dashboard!B15*$A7)-Dashboard!B17-Dashboard!B16*(1+0))/(Dashboard!B16*(1+0)),0)</f>
        <v>-1</v>
      </c>
      <c r="D7" s="22" t="n">
        <f aca="false">IFERROR(((Dashboard!B15*$A7)-Dashboard!B17-Dashboard!B16*(1+0.2))/(Dashboard!B16*(1+0.2)),0)</f>
        <v>-1</v>
      </c>
      <c r="E7" s="22" t="n">
        <f aca="false">IFERROR(((Dashboard!B15*$A7)-Dashboard!B17-Dashboard!B16*(1+0.4))/(Dashboard!B16*(1+0.4)),0)</f>
        <v>-1</v>
      </c>
    </row>
    <row r="8" customFormat="false" ht="15" hidden="false" customHeight="false" outlineLevel="0" collapsed="false">
      <c r="A8" s="32" t="n">
        <v>0.8</v>
      </c>
      <c r="B8" s="22" t="n">
        <f aca="false">IFERROR(((Dashboard!B15*$A8)-Dashboard!B17-Dashboard!B16*(1+-0.2))/(Dashboard!B16*(1+-0.2)),0)</f>
        <v>-1</v>
      </c>
      <c r="C8" s="22" t="n">
        <f aca="false">IFERROR(((Dashboard!B15*$A8)-Dashboard!B17-Dashboard!B16*(1+0))/(Dashboard!B16*(1+0)),0)</f>
        <v>-1</v>
      </c>
      <c r="D8" s="22" t="n">
        <f aca="false">IFERROR(((Dashboard!B15*$A8)-Dashboard!B17-Dashboard!B16*(1+0.2))/(Dashboard!B16*(1+0.2)),0)</f>
        <v>-1</v>
      </c>
      <c r="E8" s="22" t="n">
        <f aca="false">IFERROR(((Dashboard!B15*$A8)-Dashboard!B17-Dashboard!B16*(1+0.4))/(Dashboard!B16*(1+0.4)),0)</f>
        <v>-1</v>
      </c>
    </row>
    <row r="9" customFormat="false" ht="15" hidden="false" customHeight="false" outlineLevel="0" collapsed="false">
      <c r="A9" s="32" t="n">
        <v>0.9</v>
      </c>
      <c r="B9" s="22" t="n">
        <f aca="false">IFERROR(((Dashboard!B15*$A9)-Dashboard!B17-Dashboard!B16*(1+-0.2))/(Dashboard!B16*(1+-0.2)),0)</f>
        <v>-1</v>
      </c>
      <c r="C9" s="22" t="n">
        <f aca="false">IFERROR(((Dashboard!B15*$A9)-Dashboard!B17-Dashboard!B16*(1+0))/(Dashboard!B16*(1+0)),0)</f>
        <v>-1</v>
      </c>
      <c r="D9" s="22" t="n">
        <f aca="false">IFERROR(((Dashboard!B15*$A9)-Dashboard!B17-Dashboard!B16*(1+0.2))/(Dashboard!B16*(1+0.2)),0)</f>
        <v>-1</v>
      </c>
      <c r="E9" s="22" t="n">
        <f aca="false">IFERROR(((Dashboard!B15*$A9)-Dashboard!B17-Dashboard!B16*(1+0.4))/(Dashboard!B16*(1+0.4)),0)</f>
        <v>-1</v>
      </c>
    </row>
    <row r="10" customFormat="false" ht="15" hidden="false" customHeight="false" outlineLevel="0" collapsed="false">
      <c r="A10" s="32" t="n">
        <v>1</v>
      </c>
      <c r="B10" s="22" t="n">
        <f aca="false">IFERROR(((Dashboard!B15*$A10)-Dashboard!B17-Dashboard!B16*(1+-0.2))/(Dashboard!B16*(1+-0.2)),0)</f>
        <v>-1</v>
      </c>
      <c r="C10" s="22" t="n">
        <f aca="false">IFERROR(((Dashboard!B15*$A10)-Dashboard!B17-Dashboard!B16*(1+0))/(Dashboard!B16*(1+0)),0)</f>
        <v>-1</v>
      </c>
      <c r="D10" s="22" t="n">
        <f aca="false">IFERROR(((Dashboard!B15*$A10)-Dashboard!B17-Dashboard!B16*(1+0.2))/(Dashboard!B16*(1+0.2)),0)</f>
        <v>-1</v>
      </c>
      <c r="E10" s="22" t="n">
        <f aca="false">IFERROR(((Dashboard!B15*$A10)-Dashboard!B17-Dashboard!B16*(1+0.4))/(Dashboard!B16*(1+0.4)),0)</f>
        <v>-1</v>
      </c>
    </row>
    <row r="11" customFormat="false" ht="15" hidden="false" customHeight="false" outlineLevel="0" collapsed="false">
      <c r="A11" s="32" t="n">
        <v>1.1</v>
      </c>
      <c r="B11" s="22" t="n">
        <f aca="false">IFERROR(((Dashboard!B15*$A11)-Dashboard!B17-Dashboard!B16*(1+-0.2))/(Dashboard!B16*(1+-0.2)),0)</f>
        <v>-1</v>
      </c>
      <c r="C11" s="22" t="n">
        <f aca="false">IFERROR(((Dashboard!B15*$A11)-Dashboard!B17-Dashboard!B16*(1+0))/(Dashboard!B16*(1+0)),0)</f>
        <v>-1</v>
      </c>
      <c r="D11" s="22" t="n">
        <f aca="false">IFERROR(((Dashboard!B15*$A11)-Dashboard!B17-Dashboard!B16*(1+0.2))/(Dashboard!B16*(1+0.2)),0)</f>
        <v>-1</v>
      </c>
      <c r="E11" s="22" t="n">
        <f aca="false">IFERROR(((Dashboard!B15*$A11)-Dashboard!B17-Dashboard!B16*(1+0.4))/(Dashboard!B16*(1+0.4)),0)</f>
        <v>-1</v>
      </c>
    </row>
    <row r="14" customFormat="false" ht="15" hidden="false" customHeight="false" outlineLevel="0" collapsed="false">
      <c r="A14" s="6" t="s">
        <v>159</v>
      </c>
    </row>
    <row r="15" customFormat="false" ht="15" hidden="false" customHeight="false" outlineLevel="0" collapsed="false">
      <c r="A15" s="33" t="s">
        <v>160</v>
      </c>
    </row>
    <row r="16" customFormat="false" ht="15" hidden="false" customHeight="false" outlineLevel="0" collapsed="false">
      <c r="A16" s="34" t="s">
        <v>161</v>
      </c>
    </row>
    <row r="17" customFormat="false" ht="15" hidden="false" customHeight="false" outlineLevel="0" collapsed="false">
      <c r="A17" s="35" t="s">
        <v>162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5" min="3" style="0" width="18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4" t="s">
        <v>163</v>
      </c>
      <c r="B1" s="4"/>
      <c r="C1" s="4"/>
      <c r="D1" s="4"/>
      <c r="E1" s="4"/>
      <c r="F1" s="4"/>
    </row>
    <row r="2" customFormat="false" ht="26.85" hidden="false" customHeight="false" outlineLevel="0" collapsed="false">
      <c r="A2" s="5" t="s">
        <v>42</v>
      </c>
      <c r="B2" s="5" t="s">
        <v>164</v>
      </c>
      <c r="C2" s="5" t="s">
        <v>104</v>
      </c>
      <c r="D2" s="5" t="s">
        <v>105</v>
      </c>
      <c r="E2" s="5" t="s">
        <v>106</v>
      </c>
      <c r="F2" s="5" t="s">
        <v>165</v>
      </c>
    </row>
    <row r="3" customFormat="false" ht="26.85" hidden="false" customHeight="false" outlineLevel="0" collapsed="false">
      <c r="A3" s="13" t="s">
        <v>43</v>
      </c>
      <c r="B3" s="13" t="s">
        <v>166</v>
      </c>
      <c r="C3" s="15" t="n">
        <v>60000</v>
      </c>
      <c r="D3" s="15" t="n">
        <v>180000</v>
      </c>
      <c r="E3" s="15" t="n">
        <v>18000</v>
      </c>
      <c r="F3" s="13" t="s">
        <v>167</v>
      </c>
    </row>
    <row r="4" customFormat="false" ht="15" hidden="false" customHeight="false" outlineLevel="0" collapsed="false">
      <c r="A4" s="13" t="s">
        <v>43</v>
      </c>
      <c r="B4" s="13" t="s">
        <v>168</v>
      </c>
      <c r="C4" s="15" t="n">
        <v>25000</v>
      </c>
      <c r="D4" s="15" t="n">
        <v>0</v>
      </c>
      <c r="E4" s="15" t="n">
        <v>15000</v>
      </c>
      <c r="F4" s="13"/>
    </row>
    <row r="5" customFormat="false" ht="26.85" hidden="false" customHeight="false" outlineLevel="0" collapsed="false">
      <c r="A5" s="13" t="s">
        <v>43</v>
      </c>
      <c r="B5" s="13" t="s">
        <v>169</v>
      </c>
      <c r="C5" s="15" t="n">
        <v>18000</v>
      </c>
      <c r="D5" s="15" t="n">
        <v>0</v>
      </c>
      <c r="E5" s="15" t="n">
        <v>12000</v>
      </c>
      <c r="F5" s="13"/>
    </row>
    <row r="6" customFormat="false" ht="15" hidden="false" customHeight="false" outlineLevel="0" collapsed="false">
      <c r="A6" s="13" t="s">
        <v>170</v>
      </c>
      <c r="B6" s="13" t="s">
        <v>171</v>
      </c>
      <c r="C6" s="15" t="n">
        <v>80000</v>
      </c>
      <c r="D6" s="15" t="n">
        <v>0</v>
      </c>
      <c r="E6" s="15" t="n">
        <v>22000</v>
      </c>
      <c r="F6" s="13" t="s">
        <v>172</v>
      </c>
    </row>
    <row r="7" customFormat="false" ht="15" hidden="false" customHeight="false" outlineLevel="0" collapsed="false">
      <c r="A7" s="13" t="s">
        <v>170</v>
      </c>
      <c r="B7" s="13" t="s">
        <v>173</v>
      </c>
      <c r="C7" s="15" t="n">
        <v>45000</v>
      </c>
      <c r="D7" s="15" t="n">
        <v>0</v>
      </c>
      <c r="E7" s="15" t="n">
        <v>18000</v>
      </c>
      <c r="F7" s="13"/>
    </row>
    <row r="8" customFormat="false" ht="26.85" hidden="false" customHeight="false" outlineLevel="0" collapsed="false">
      <c r="A8" s="13" t="s">
        <v>170</v>
      </c>
      <c r="B8" s="13" t="s">
        <v>174</v>
      </c>
      <c r="C8" s="15" t="n">
        <v>35000</v>
      </c>
      <c r="D8" s="15" t="n">
        <v>0</v>
      </c>
      <c r="E8" s="15" t="n">
        <v>15000</v>
      </c>
      <c r="F8" s="13"/>
    </row>
    <row r="9" customFormat="false" ht="15" hidden="false" customHeight="false" outlineLevel="0" collapsed="false">
      <c r="A9" s="13" t="s">
        <v>175</v>
      </c>
      <c r="B9" s="13" t="s">
        <v>176</v>
      </c>
      <c r="C9" s="15" t="n">
        <v>90000</v>
      </c>
      <c r="D9" s="15" t="n">
        <v>0</v>
      </c>
      <c r="E9" s="15" t="n">
        <v>25000</v>
      </c>
      <c r="F9" s="13" t="s">
        <v>177</v>
      </c>
    </row>
    <row r="10" customFormat="false" ht="15" hidden="false" customHeight="false" outlineLevel="0" collapsed="false">
      <c r="A10" s="13" t="s">
        <v>175</v>
      </c>
      <c r="B10" s="13" t="s">
        <v>178</v>
      </c>
      <c r="C10" s="15" t="n">
        <v>55000</v>
      </c>
      <c r="D10" s="15" t="n">
        <v>0</v>
      </c>
      <c r="E10" s="15" t="n">
        <v>20000</v>
      </c>
      <c r="F10" s="13"/>
    </row>
    <row r="11" customFormat="false" ht="26.85" hidden="false" customHeight="false" outlineLevel="0" collapsed="false">
      <c r="A11" s="13" t="s">
        <v>179</v>
      </c>
      <c r="B11" s="13" t="s">
        <v>180</v>
      </c>
      <c r="C11" s="15" t="n">
        <v>120000</v>
      </c>
      <c r="D11" s="15" t="n">
        <v>30000</v>
      </c>
      <c r="E11" s="15" t="n">
        <v>30000</v>
      </c>
      <c r="F11" s="13" t="s">
        <v>181</v>
      </c>
    </row>
    <row r="12" customFormat="false" ht="26.85" hidden="false" customHeight="false" outlineLevel="0" collapsed="false">
      <c r="A12" s="13" t="s">
        <v>179</v>
      </c>
      <c r="B12" s="13" t="s">
        <v>182</v>
      </c>
      <c r="C12" s="15" t="n">
        <v>40000</v>
      </c>
      <c r="D12" s="15" t="n">
        <v>0</v>
      </c>
      <c r="E12" s="15" t="n">
        <v>15000</v>
      </c>
      <c r="F12" s="13"/>
    </row>
    <row r="13" customFormat="false" ht="15" hidden="false" customHeight="false" outlineLevel="0" collapsed="false">
      <c r="A13" s="13" t="s">
        <v>183</v>
      </c>
      <c r="B13" s="13" t="s">
        <v>184</v>
      </c>
      <c r="C13" s="15" t="n">
        <v>70000</v>
      </c>
      <c r="D13" s="15" t="n">
        <v>50000</v>
      </c>
      <c r="E13" s="15" t="n">
        <v>25000</v>
      </c>
      <c r="F13" s="13" t="s">
        <v>185</v>
      </c>
    </row>
    <row r="14" customFormat="false" ht="15" hidden="false" customHeight="false" outlineLevel="0" collapsed="false">
      <c r="A14" s="13" t="s">
        <v>183</v>
      </c>
      <c r="B14" s="13" t="s">
        <v>186</v>
      </c>
      <c r="C14" s="15" t="n">
        <v>90000</v>
      </c>
      <c r="D14" s="15" t="n">
        <v>0</v>
      </c>
      <c r="E14" s="15" t="n">
        <v>28000</v>
      </c>
      <c r="F14" s="13"/>
    </row>
    <row r="15" customFormat="false" ht="15" hidden="false" customHeight="false" outlineLevel="0" collapsed="false">
      <c r="A15" s="13" t="s">
        <v>187</v>
      </c>
      <c r="B15" s="13" t="s">
        <v>188</v>
      </c>
      <c r="C15" s="15" t="n">
        <v>100000</v>
      </c>
      <c r="D15" s="15" t="n">
        <v>0</v>
      </c>
      <c r="E15" s="15" t="n">
        <v>35000</v>
      </c>
      <c r="F15" s="13" t="s">
        <v>189</v>
      </c>
    </row>
    <row r="16" customFormat="false" ht="15" hidden="false" customHeight="false" outlineLevel="0" collapsed="false">
      <c r="A16" s="13" t="s">
        <v>190</v>
      </c>
      <c r="B16" s="13" t="s">
        <v>191</v>
      </c>
      <c r="C16" s="15" t="n">
        <v>60000</v>
      </c>
      <c r="D16" s="15" t="n">
        <v>0</v>
      </c>
      <c r="E16" s="15" t="n">
        <v>18000</v>
      </c>
      <c r="F16" s="13" t="s">
        <v>192</v>
      </c>
    </row>
    <row r="17" customFormat="false" ht="15" hidden="false" customHeight="false" outlineLevel="0" collapsed="false">
      <c r="A17" s="13" t="s">
        <v>190</v>
      </c>
      <c r="B17" s="13" t="s">
        <v>193</v>
      </c>
      <c r="C17" s="15" t="n">
        <v>40000</v>
      </c>
      <c r="D17" s="15" t="n">
        <v>80000</v>
      </c>
      <c r="E17" s="15" t="n">
        <v>15000</v>
      </c>
      <c r="F17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4" t="s">
        <v>194</v>
      </c>
      <c r="B1" s="4"/>
      <c r="C1" s="4"/>
      <c r="D1" s="4"/>
    </row>
    <row r="2" customFormat="false" ht="15" hidden="false" customHeight="false" outlineLevel="0" collapsed="false">
      <c r="A2" s="5" t="s">
        <v>195</v>
      </c>
      <c r="B2" s="5" t="s">
        <v>196</v>
      </c>
      <c r="C2" s="5" t="s">
        <v>197</v>
      </c>
      <c r="D2" s="5" t="s">
        <v>1</v>
      </c>
    </row>
    <row r="3" customFormat="false" ht="26.85" hidden="false" customHeight="false" outlineLevel="0" collapsed="false">
      <c r="A3" s="12" t="s">
        <v>198</v>
      </c>
      <c r="B3" s="12" t="s">
        <v>199</v>
      </c>
      <c r="C3" s="13" t="s">
        <v>200</v>
      </c>
      <c r="D3" s="12" t="s"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2026-04-18T10:53:02Z</dcterms:created>
  <dc:creator>openpyxl</dc:creator>
  <dc:description/>
  <dc:language>en-US</dc:language>
  <cp:lastModifiedBy/>
  <dcterms:modified xsi:type="dcterms:W3CDTF">2026-04-18T10:53:02Z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